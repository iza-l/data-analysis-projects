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ilva\Downloads\Curriculo\Repositório\"/>
    </mc:Choice>
  </mc:AlternateContent>
  <xr:revisionPtr revIDLastSave="0" documentId="13_ncr:1_{6871F164-5C24-4767-8EC0-25F715855386}" xr6:coauthVersionLast="47" xr6:coauthVersionMax="47" xr10:uidLastSave="{00000000-0000-0000-0000-000000000000}"/>
  <bookViews>
    <workbookView xWindow="-120" yWindow="-120" windowWidth="29040" windowHeight="16440" activeTab="2" xr2:uid="{D6644EE8-9FB8-4193-A7B9-84AE87DEBBEA}"/>
  </bookViews>
  <sheets>
    <sheet name="Base de dados" sheetId="1" r:id="rId1"/>
    <sheet name="Análise" sheetId="2" r:id="rId2"/>
    <sheet name="Dashboard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B2" i="3" l="1"/>
  <c r="C2" i="3"/>
</calcChain>
</file>

<file path=xl/sharedStrings.xml><?xml version="1.0" encoding="utf-8"?>
<sst xmlns="http://schemas.openxmlformats.org/spreadsheetml/2006/main" count="50" uniqueCount="48">
  <si>
    <t>Lote</t>
  </si>
  <si>
    <t>pH</t>
  </si>
  <si>
    <t>Viscosidade</t>
  </si>
  <si>
    <t>Status Final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</si>
  <si>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</si>
  <si>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</si>
  <si>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</si>
  <si>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</si>
  <si>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</si>
  <si>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</si>
  <si>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</si>
  <si>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</si>
  <si>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</si>
  <si>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</si>
  <si>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</si>
  <si>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</si>
  <si>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</si>
  <si>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</si>
  <si>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</si>
  <si>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</si>
  <si>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</si>
  <si>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</si>
  <si>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</si>
  <si>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</si>
  <si>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</si>
  <si>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</si>
  <si>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</si>
  <si>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</si>
  <si>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</si>
  <si>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</si>
  <si>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</si>
  <si>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</si>
  <si>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</si>
  <si>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</si>
  <si>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Parâmetro</t>
  </si>
  <si>
    <t>Mín</t>
  </si>
  <si>
    <t>Máx</t>
  </si>
  <si>
    <t>Temperatura (ºC)</t>
  </si>
  <si>
    <t>Contagem de Lote</t>
  </si>
  <si>
    <t>Rótulos de Linha</t>
  </si>
  <si>
    <t>Aprovado</t>
  </si>
  <si>
    <t>Reprovado</t>
  </si>
  <si>
    <t>Total Geral</t>
  </si>
  <si>
    <t>Média de pH</t>
  </si>
  <si>
    <t>Média de Viscosidade</t>
  </si>
  <si>
    <t>Aprovados</t>
  </si>
  <si>
    <t>Total de Lotes</t>
  </si>
  <si>
    <t>Reprovados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</si>
</sst>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Times New Roman"/>
      <family val="2"/>
    </font>
    <font>
      <sz val="28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3" xfId="0" applyFill="1" applyBorder="1"/>
    <xf numFmtId="0" fontId="2" fillId="2" borderId="1" xfId="0" applyFont="1" applyFill="1" applyBorder="1" applyAlignment="1">
      <alignment horizontal="left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3" borderId="1" xfId="0" applyNumberFormat="1" applyFill="1" applyBorder="1"/>
    <xf numFmtId="164" fontId="2" fillId="3" borderId="1" xfId="0" applyNumberFormat="1" applyFont="1" applyFill="1" applyBorder="1"/>
    <xf numFmtId="0" fontId="0" fillId="3" borderId="7" xfId="0" applyFill="1" applyBorder="1"/>
    <xf numFmtId="0" fontId="0" fillId="3" borderId="2" xfId="0" applyFill="1" applyBorder="1" applyAlignment="1">
      <alignment horizontal="right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4" xfId="0" applyFill="1" applyBorder="1" applyAlignment="1">
      <alignment horizontal="right"/>
    </xf>
    <xf numFmtId="0" fontId="0" fillId="0" borderId="0" xfId="0" applyNumberFormat="1"/>
    <xf numFmtId="0" fontId="0" fillId="0" borderId="0" xfId="0" pivotButton="1"/>
    <xf numFmtId="16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12">
    <dxf>
      <numFmt numFmtId="164" formatCode="0.0"/>
    </dxf>
    <dxf>
      <numFmt numFmtId="164" formatCode="0.0"/>
    </dxf>
    <dxf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2" tint="-0.499984740745262"/>
        </left>
        <right/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/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border outline="0">
        <top style="thin">
          <color theme="2" tint="-0.499984740745262"/>
        </top>
      </border>
    </dxf>
    <dxf>
      <border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Qualidade com Análise de Lotes e Indicadores.xlsx]Análise!Tabela Dinâmica1</c:name>
    <c:fmtId val="6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Análise!$B$1</c:f>
              <c:strCache>
                <c:ptCount val="1"/>
                <c:pt idx="0">
                  <c:v>Contagem de Lote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9-4B72-AB82-1E6CE429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99-4B72-AB82-1E6CE429983B}"/>
              </c:ext>
            </c:extLst>
          </c:dPt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Análise!$B$2:$B$4</c:f>
              <c:numCache>
                <c:formatCode>General</c:formatCode>
                <c:ptCount val="2"/>
                <c:pt idx="0">
                  <c:v>23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4-4E35-B823-B15275E4F3B8}"/>
            </c:ext>
          </c:extLst>
        </c:ser>
        <c:ser>
          <c:idx val="1"/>
          <c:order val="1"/>
          <c:tx>
            <c:strRef>
              <c:f>Análise!$C$1</c:f>
              <c:strCache>
                <c:ptCount val="1"/>
                <c:pt idx="0">
                  <c:v>Média de pH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99-4B72-AB82-1E6CE429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99-4B72-AB82-1E6CE429983B}"/>
              </c:ext>
            </c:extLst>
          </c:dPt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Análise!$C$2:$C$4</c:f>
              <c:numCache>
                <c:formatCode>0.0</c:formatCode>
                <c:ptCount val="2"/>
                <c:pt idx="0">
                  <c:v>6.9826086956521749</c:v>
                </c:pt>
                <c:pt idx="1">
                  <c:v>7.1142857142857148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4-4E35-B823-B15275E4F3B8}"/>
            </c:ext>
          </c:extLst>
        </c:ser>
        <c:ser>
          <c:idx val="2"/>
          <c:order val="2"/>
          <c:tx>
            <c:strRef>
              <c:f>Análise!$D$1</c:f>
              <c:strCache>
                <c:ptCount val="1"/>
                <c:pt idx="0">
                  <c:v>Média de Viscosidade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99-4B72-AB82-1E6CE4299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799-4B72-AB82-1E6CE429983B}"/>
              </c:ext>
            </c:extLst>
          </c:dPt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Análise!$D$2:$D$4</c:f>
              <c:numCache>
                <c:formatCode>0.0</c:formatCode>
                <c:ptCount val="2"/>
                <c:pt idx="0">
                  <c:v>1196.0434782608695</c:v>
                </c:pt>
                <c:pt idx="1">
                  <c:v>1125.8571428571429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64-4E35-B823-B15275E4F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[Controle de Qualidade com Análise de Lotes e Indicadores.xlsx]Análise!Tabela Dinâmica1</c:name>
    <c:fmtId val="68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Contagem de Lote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Análise!$B$2:$B$4</c:f>
              <c:numCache>
                <c:formatCode>General</c:formatCode>
                <c:ptCount val="2"/>
                <c:pt idx="0">
                  <c:v>23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C-4CC2-9673-7F0D40EDC48B}"/>
            </c:ext>
          </c:extLst>
        </c:ser>
        <c:ser>
          <c:idx val="1"/>
          <c:order val="1"/>
          <c:tx>
            <c:strRef>
              <c:f>Análise!$C$1</c:f>
              <c:strCache>
                <c:ptCount val="1"/>
                <c:pt idx="0">
                  <c:v>Média de pH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Análise!$C$2:$C$4</c:f>
              <c:numCache>
                <c:formatCode>0.0</c:formatCode>
                <c:ptCount val="2"/>
                <c:pt idx="0">
                  <c:v>6.9826086956521749</c:v>
                </c:pt>
                <c:pt idx="1">
                  <c:v>7.1142857142857148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C-4CC2-9673-7F0D40EDC48B}"/>
            </c:ext>
          </c:extLst>
        </c:ser>
        <c:ser>
          <c:idx val="2"/>
          <c:order val="2"/>
          <c:tx>
            <c:strRef>
              <c:f>Análise!$D$1</c:f>
              <c:strCache>
                <c:ptCount val="1"/>
                <c:pt idx="0">
                  <c:v>Média de Viscosidade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Análise!$D$2:$D$4</c:f>
              <c:numCache>
                <c:formatCode>0.0</c:formatCode>
                <c:ptCount val="2"/>
                <c:pt idx="0">
                  <c:v>1196.0434782608695</c:v>
                </c:pt>
                <c:pt idx="1">
                  <c:v>1125.8571428571429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C-4CC2-9673-7F0D40EDC4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98283104"/>
        <c:axId val="198284544"/>
      </c:barChart>
      <c:catAx>
        <c:axId val="1982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84544"/>
        <c:crosses val="autoZero"/>
        <c:auto val="1"/>
        <c:lblAlgn val="ctr"/>
        <c:lblOffset val="100"/>
        <c:noMultiLvlLbl val="0"/>
      </c:catAx>
      <c:valAx>
        <c:axId val="1982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Relação entre Temperatura e Viscosidade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'Base de dados'!$D$2:$D$31</c:f>
              <c:numCache>
                <c:formatCode>General</c:formatCode>
                <c:ptCount val="30"/>
                <c:pt idx="0">
                  <c:v>25</c:v>
                </c:pt>
                <c:pt idx="1">
                  <c:v>26</c:v>
                </c:pt>
                <c:pt idx="2">
                  <c:v>33</c:v>
                </c:pt>
                <c:pt idx="3">
                  <c:v>35</c:v>
                </c:pt>
                <c:pt idx="4">
                  <c:v>32</c:v>
                </c:pt>
                <c:pt idx="5">
                  <c:v>25</c:v>
                </c:pt>
                <c:pt idx="6">
                  <c:v>25</c:v>
                </c:pt>
                <c:pt idx="7">
                  <c:v>26</c:v>
                </c:pt>
                <c:pt idx="8">
                  <c:v>29</c:v>
                </c:pt>
                <c:pt idx="9">
                  <c:v>27</c:v>
                </c:pt>
                <c:pt idx="10">
                  <c:v>25</c:v>
                </c:pt>
                <c:pt idx="11">
                  <c:v>28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34</c:v>
                </c:pt>
                <c:pt idx="16">
                  <c:v>25</c:v>
                </c:pt>
                <c:pt idx="17">
                  <c:v>26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27</c:v>
                </c:pt>
                <c:pt idx="26">
                  <c:v>26</c:v>
                </c:pt>
                <c:pt idx="27">
                  <c:v>28</c:v>
                </c:pt>
                <c:pt idx="28">
                  <c:v>25</c:v>
                </c:pt>
                <c:pt idx="29">
                  <c:v>25</c:v>
                </c:pt>
              </c:numCache>
            </c:numRef>
          </c:xVal>
          <c:yVal>
            <c:numRef>
              <c:f>'Base de dados'!$C$2:$C$31</c:f>
              <c:numCache>
                <c:formatCode>General</c:formatCode>
                <c:ptCount val="30"/>
                <c:pt idx="0">
                  <c:v>1120</c:v>
                </c:pt>
                <c:pt idx="1">
                  <c:v>1250</c:v>
                </c:pt>
                <c:pt idx="2">
                  <c:v>1080</c:v>
                </c:pt>
                <c:pt idx="3">
                  <c:v>1100</c:v>
                </c:pt>
                <c:pt idx="4">
                  <c:v>1099</c:v>
                </c:pt>
                <c:pt idx="5">
                  <c:v>1300</c:v>
                </c:pt>
                <c:pt idx="6">
                  <c:v>1270</c:v>
                </c:pt>
                <c:pt idx="7">
                  <c:v>1150</c:v>
                </c:pt>
                <c:pt idx="8">
                  <c:v>1153</c:v>
                </c:pt>
                <c:pt idx="9">
                  <c:v>1100</c:v>
                </c:pt>
                <c:pt idx="10">
                  <c:v>1107</c:v>
                </c:pt>
                <c:pt idx="11">
                  <c:v>1150</c:v>
                </c:pt>
                <c:pt idx="12">
                  <c:v>1299</c:v>
                </c:pt>
                <c:pt idx="13">
                  <c:v>1230</c:v>
                </c:pt>
                <c:pt idx="14">
                  <c:v>1145</c:v>
                </c:pt>
                <c:pt idx="15">
                  <c:v>1065</c:v>
                </c:pt>
                <c:pt idx="16">
                  <c:v>1300</c:v>
                </c:pt>
                <c:pt idx="17">
                  <c:v>1200</c:v>
                </c:pt>
                <c:pt idx="18">
                  <c:v>1175</c:v>
                </c:pt>
                <c:pt idx="19">
                  <c:v>1280</c:v>
                </c:pt>
                <c:pt idx="20">
                  <c:v>1235</c:v>
                </c:pt>
                <c:pt idx="21">
                  <c:v>1100</c:v>
                </c:pt>
                <c:pt idx="22">
                  <c:v>1155</c:v>
                </c:pt>
                <c:pt idx="23">
                  <c:v>1107</c:v>
                </c:pt>
                <c:pt idx="24">
                  <c:v>1120</c:v>
                </c:pt>
                <c:pt idx="25">
                  <c:v>1230</c:v>
                </c:pt>
                <c:pt idx="26">
                  <c:v>1170</c:v>
                </c:pt>
                <c:pt idx="27">
                  <c:v>1300</c:v>
                </c:pt>
                <c:pt idx="28">
                  <c:v>1190</c:v>
                </c:pt>
                <c:pt idx="29">
                  <c:v>1210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B1-4577-BE35-A4C385B70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546944"/>
        <c:axId val="232533504"/>
      </c:scatterChart>
      <c:valAx>
        <c:axId val="232546944"/>
        <c:scaling>
          <c:orientation val="minMax"/>
          <c:max val="30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2533504"/>
        <c:crosses val="autoZero"/>
        <c:crossBetween val="midCat"/>
      </c:valAx>
      <c:valAx>
        <c:axId val="232533504"/>
        <c:scaling>
          <c:orientation val="minMax"/>
          <c:max val="1300"/>
          <c:min val="1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Viscosidade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254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de Qualidade com Análise de Lotes e Indicadores.xlsx]Análise!Tabela Dinâmica1</c:name>
    <c:fmtId val="8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Análise!$B$1</c:f>
              <c:strCache>
                <c:ptCount val="1"/>
                <c:pt idx="0">
                  <c:v>Contagem de Lote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AD-4795-BD11-E08F3EFAEF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AD-4795-BD11-E08F3EFAEFF3}"/>
              </c:ext>
            </c:extLst>
          </c:dPt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Análise!$B$2:$B$4</c:f>
              <c:numCache>
                <c:formatCode>General</c:formatCode>
                <c:ptCount val="2"/>
                <c:pt idx="0">
                  <c:v>23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AD-4795-BD11-E08F3EFAEFF3}"/>
            </c:ext>
          </c:extLst>
        </c:ser>
        <c:ser>
          <c:idx val="1"/>
          <c:order val="1"/>
          <c:tx>
            <c:strRef>
              <c:f>Análise!$C$1</c:f>
              <c:strCache>
                <c:ptCount val="1"/>
                <c:pt idx="0">
                  <c:v>Média de pH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AAD-4795-BD11-E08F3EFAEF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AAD-4795-BD11-E08F3EFAEFF3}"/>
              </c:ext>
            </c:extLst>
          </c:dPt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Análise!$C$2:$C$4</c:f>
              <c:numCache>
                <c:formatCode>0.0</c:formatCode>
                <c:ptCount val="2"/>
                <c:pt idx="0">
                  <c:v>6.9826086956521749</c:v>
                </c:pt>
                <c:pt idx="1">
                  <c:v>7.1142857142857148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AD-4795-BD11-E08F3EFAEFF3}"/>
            </c:ext>
          </c:extLst>
        </c:ser>
        <c:ser>
          <c:idx val="2"/>
          <c:order val="2"/>
          <c:tx>
            <c:strRef>
              <c:f>Análise!$D$1</c:f>
              <c:strCache>
                <c:ptCount val="1"/>
                <c:pt idx="0">
                  <c:v>Média de Viscosidade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AD-4795-BD11-E08F3EFAEF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AAD-4795-BD11-E08F3EFAEFF3}"/>
              </c:ext>
            </c:extLst>
          </c:dPt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Análise!$D$2:$D$4</c:f>
              <c:numCache>
                <c:formatCode>0.0</c:formatCode>
                <c:ptCount val="2"/>
                <c:pt idx="0">
                  <c:v>1196.0434782608695</c:v>
                </c:pt>
                <c:pt idx="1">
                  <c:v>1125.8571428571429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AD-4795-BD11-E08F3EFAE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[Controle de Qualidade com Análise de Lotes e Indicadores.xlsx]Análise!Tabela Dinâmica1</c:name>
    <c:fmtId val="8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Contagem de Lote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Análise!$B$2:$B$4</c:f>
              <c:numCache>
                <c:formatCode>General</c:formatCode>
                <c:ptCount val="2"/>
                <c:pt idx="0">
                  <c:v>23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6-4E1C-BF14-4135ABE1EAAB}"/>
            </c:ext>
          </c:extLst>
        </c:ser>
        <c:ser>
          <c:idx val="1"/>
          <c:order val="1"/>
          <c:tx>
            <c:strRef>
              <c:f>Análise!$C$1</c:f>
              <c:strCache>
                <c:ptCount val="1"/>
                <c:pt idx="0">
                  <c:v>Média de pH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Análise!$C$2:$C$4</c:f>
              <c:numCache>
                <c:formatCode>0.0</c:formatCode>
                <c:ptCount val="2"/>
                <c:pt idx="0">
                  <c:v>6.9826086956521749</c:v>
                </c:pt>
                <c:pt idx="1">
                  <c:v>7.1142857142857148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6-4E1C-BF14-4135ABE1EAAB}"/>
            </c:ext>
          </c:extLst>
        </c:ser>
        <c:ser>
          <c:idx val="2"/>
          <c:order val="2"/>
          <c:tx>
            <c:strRef>
              <c:f>Análise!$D$1</c:f>
              <c:strCache>
                <c:ptCount val="1"/>
                <c:pt idx="0">
                  <c:v>Média de Viscosidade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Análise!$A$2:$A$4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Análise!$D$2:$D$4</c:f>
              <c:numCache>
                <c:formatCode>0.0</c:formatCode>
                <c:ptCount val="2"/>
                <c:pt idx="0">
                  <c:v>1196.0434782608695</c:v>
                </c:pt>
                <c:pt idx="1">
                  <c:v>1125.8571428571429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96-4E1C-BF14-4135ABE1EA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98283104"/>
        <c:axId val="198284544"/>
      </c:barChart>
      <c:catAx>
        <c:axId val="1982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84544"/>
        <c:crosses val="autoZero"/>
        <c:auto val="1"/>
        <c:lblAlgn val="ctr"/>
        <c:lblOffset val="100"/>
        <c:noMultiLvlLbl val="0"/>
      </c:catAx>
      <c:valAx>
        <c:axId val="19828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2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Relação entre Temperatura e Viscosidade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'Base de dados'!$D$2:$D$31</c:f>
              <c:numCache>
                <c:formatCode>General</c:formatCode>
                <c:ptCount val="30"/>
                <c:pt idx="0">
                  <c:v>25</c:v>
                </c:pt>
                <c:pt idx="1">
                  <c:v>26</c:v>
                </c:pt>
                <c:pt idx="2">
                  <c:v>33</c:v>
                </c:pt>
                <c:pt idx="3">
                  <c:v>35</c:v>
                </c:pt>
                <c:pt idx="4">
                  <c:v>32</c:v>
                </c:pt>
                <c:pt idx="5">
                  <c:v>25</c:v>
                </c:pt>
                <c:pt idx="6">
                  <c:v>25</c:v>
                </c:pt>
                <c:pt idx="7">
                  <c:v>26</c:v>
                </c:pt>
                <c:pt idx="8">
                  <c:v>29</c:v>
                </c:pt>
                <c:pt idx="9">
                  <c:v>27</c:v>
                </c:pt>
                <c:pt idx="10">
                  <c:v>25</c:v>
                </c:pt>
                <c:pt idx="11">
                  <c:v>28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34</c:v>
                </c:pt>
                <c:pt idx="16">
                  <c:v>25</c:v>
                </c:pt>
                <c:pt idx="17">
                  <c:v>26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27</c:v>
                </c:pt>
                <c:pt idx="26">
                  <c:v>26</c:v>
                </c:pt>
                <c:pt idx="27">
                  <c:v>28</c:v>
                </c:pt>
                <c:pt idx="28">
                  <c:v>25</c:v>
                </c:pt>
                <c:pt idx="29">
                  <c:v>25</c:v>
                </c:pt>
              </c:numCache>
            </c:numRef>
          </c:xVal>
          <c:yVal>
            <c:numRef>
              <c:f>'Base de dados'!$C$2:$C$31</c:f>
              <c:numCache>
                <c:formatCode>General</c:formatCode>
                <c:ptCount val="30"/>
                <c:pt idx="0">
                  <c:v>1120</c:v>
                </c:pt>
                <c:pt idx="1">
                  <c:v>1250</c:v>
                </c:pt>
                <c:pt idx="2">
                  <c:v>1080</c:v>
                </c:pt>
                <c:pt idx="3">
                  <c:v>1100</c:v>
                </c:pt>
                <c:pt idx="4">
                  <c:v>1099</c:v>
                </c:pt>
                <c:pt idx="5">
                  <c:v>1300</c:v>
                </c:pt>
                <c:pt idx="6">
                  <c:v>1270</c:v>
                </c:pt>
                <c:pt idx="7">
                  <c:v>1150</c:v>
                </c:pt>
                <c:pt idx="8">
                  <c:v>1153</c:v>
                </c:pt>
                <c:pt idx="9">
                  <c:v>1100</c:v>
                </c:pt>
                <c:pt idx="10">
                  <c:v>1107</c:v>
                </c:pt>
                <c:pt idx="11">
                  <c:v>1150</c:v>
                </c:pt>
                <c:pt idx="12">
                  <c:v>1299</c:v>
                </c:pt>
                <c:pt idx="13">
                  <c:v>1230</c:v>
                </c:pt>
                <c:pt idx="14">
                  <c:v>1145</c:v>
                </c:pt>
                <c:pt idx="15">
                  <c:v>1065</c:v>
                </c:pt>
                <c:pt idx="16">
                  <c:v>1300</c:v>
                </c:pt>
                <c:pt idx="17">
                  <c:v>1200</c:v>
                </c:pt>
                <c:pt idx="18">
                  <c:v>1175</c:v>
                </c:pt>
                <c:pt idx="19">
                  <c:v>1280</c:v>
                </c:pt>
                <c:pt idx="20">
                  <c:v>1235</c:v>
                </c:pt>
                <c:pt idx="21">
                  <c:v>1100</c:v>
                </c:pt>
                <c:pt idx="22">
                  <c:v>1155</c:v>
                </c:pt>
                <c:pt idx="23">
                  <c:v>1107</c:v>
                </c:pt>
                <c:pt idx="24">
                  <c:v>1120</c:v>
                </c:pt>
                <c:pt idx="25">
                  <c:v>1230</c:v>
                </c:pt>
                <c:pt idx="26">
                  <c:v>1170</c:v>
                </c:pt>
                <c:pt idx="27">
                  <c:v>1300</c:v>
                </c:pt>
                <c:pt idx="28">
                  <c:v>1190</c:v>
                </c:pt>
                <c:pt idx="29">
                  <c:v>1210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3-4E88-9387-60465BE7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546944"/>
        <c:axId val="232533504"/>
      </c:scatterChart>
      <c:valAx>
        <c:axId val="232546944"/>
        <c:scaling>
          <c:orientation val="minMax"/>
          <c:max val="30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2533504"/>
        <c:crosses val="autoZero"/>
        <c:crossBetween val="midCat"/>
      </c:valAx>
      <c:valAx>
        <c:axId val="232533504"/>
        <c:scaling>
          <c:orientation val="minMax"/>
          <c:max val="1300"/>
          <c:min val="1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Viscosidade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254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1087946</xdr:colOff>
      <xdr:row>0</xdr:row>
      <xdr:rowOff>126090</xdr:rowOff>
    </xdr:from>
    <xdr:to>
      <xdr:col>15</xdr:col>
      <xdr:colOff>278686</xdr:colOff>
      <xdr:row>14</xdr:row>
      <xdr:rowOff>83410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5F0FA8-DE55-4C74-FBAD-A45CD7D12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53105</xdr:colOff>
      <xdr:row>0</xdr:row>
      <xdr:rowOff>114885</xdr:rowOff>
    </xdr:from>
    <xdr:to>
      <xdr:col>27</xdr:col>
      <xdr:colOff>345920</xdr:colOff>
      <xdr:row>14</xdr:row>
      <xdr:rowOff>72205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228B62-0290-BBA5-E686-8E3E8B577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1299883</xdr:colOff>
      <xdr:row>15</xdr:row>
      <xdr:rowOff>56030</xdr:rowOff>
    </xdr:from>
    <xdr:to>
      <xdr:col>25</xdr:col>
      <xdr:colOff>294996</xdr:colOff>
      <xdr:row>37</xdr:row>
      <xdr:rowOff>114300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2D80AD3-9025-4E9B-AE3E-6EEDA89B9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6632</xdr:rowOff>
    </xdr:from>
    <xdr:to>
      <xdr:col>1</xdr:col>
      <xdr:colOff>1238251</xdr:colOff>
      <xdr:row>17</xdr:row>
      <xdr:rowOff>80210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8C1CB8-9DEE-4E9C-9145-1E27EACBC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1240970</xdr:colOff>
      <xdr:row>2</xdr:row>
      <xdr:rowOff>5443</xdr:rowOff>
    </xdr:from>
    <xdr:to>
      <xdr:col>2</xdr:col>
      <xdr:colOff>2675163</xdr:colOff>
      <xdr:row>17</xdr:row>
      <xdr:rowOff>78922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AEA18D-A6FE-4431-97CD-BD648337E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747642</xdr:colOff>
      <xdr:row>17</xdr:row>
      <xdr:rowOff>84514</xdr:rowOff>
    </xdr:from>
    <xdr:to>
      <xdr:col>2</xdr:col>
      <xdr:colOff>1928061</xdr:colOff>
      <xdr:row>39</xdr:row>
      <xdr:rowOff>184547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B4878E-8F15-4879-9F94-950A3B53C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748394</xdr:colOff>
      <xdr:row>40</xdr:row>
      <xdr:rowOff>40822</xdr:rowOff>
    </xdr:from>
    <xdr:to>
      <xdr:col>2</xdr:col>
      <xdr:colOff>1932216</xdr:colOff>
      <xdr:row>43</xdr:row>
      <xdr:rowOff>81644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A62C294-8251-FD3A-B6A8-E28A48C832BA}"/>
            </a:ext>
          </a:extLst>
        </xdr:cNvPr>
        <xdr:cNvSpPr txBox="1"/>
      </xdr:nvSpPr>
      <xdr:spPr>
        <a:xfrm>
          <a:off x="748394" y="8694965"/>
          <a:ext cx="6545036" cy="653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latin typeface="Times New Roman" panose="02020603050405020304" pitchFamily="18" charset="0"/>
              <a:cs typeface="Times New Roman" panose="02020603050405020304" pitchFamily="18" charset="0"/>
            </a:rPr>
            <a:t>A análise indica que a maioria dos lotes está dentro dos padrões de qualidade. </a:t>
          </a:r>
        </a:p>
        <a:p>
          <a:r>
            <a:rPr lang="pt-BR" sz="1400">
              <a:latin typeface="Times New Roman" panose="02020603050405020304" pitchFamily="18" charset="0"/>
              <a:cs typeface="Times New Roman" panose="02020603050405020304" pitchFamily="18" charset="0"/>
            </a:rPr>
            <a:t>Observa-se que temperaturas mais elevadas tendem a reduzir a viscosidade, sugerindo influência das condições de processo no produto final.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a a" refreshedDate="46100.586073379629" createdVersion="8" refreshedVersion="8" minRefreshableVersion="3" recordCount="30" xr:uid="{1B3E9329-82A3-44BD-9923-205AE520094B}">
  <cacheSource type="worksheet">
    <worksheetSource name="Tabela1"/>
  </cacheSource>
  <cacheFields count="5">
    <cacheField name="Lote" numFmtId="0">
      <sharedItems/>
    </cacheField>
    <cacheField name="pH" numFmtId="0">
      <sharedItems containsSemiMixedTypes="0" containsString="0" containsNumber="1" minValue="4.5" maxValue="9.8000000000000007" count="17">
        <n v="6.8"/>
        <n v="7.5"/>
        <n v="8.3000000000000007"/>
        <n v="6.6"/>
        <n v="7.1"/>
        <n v="6.5"/>
        <n v="6.9"/>
        <n v="7.4"/>
        <n v="7.3"/>
        <n v="7"/>
        <n v="6.2"/>
        <n v="6.7"/>
        <n v="4.5"/>
        <n v="6.3"/>
        <n v="9.8000000000000007"/>
        <n v="7.2"/>
        <n v="7.6"/>
      </sharedItems>
    </cacheField>
    <cacheField name="Viscosidade" numFmtId="0">
      <sharedItems containsSemiMixedTypes="0" containsString="0" containsNumber="1" containsInteger="1" minValue="1065" maxValue="1300"/>
    </cacheField>
    <cacheField name="Temperatura (ºC)" numFmtId="0">
      <sharedItems containsSemiMixedTypes="0" containsString="0" containsNumber="1" containsInteger="1" minValue="25" maxValue="35"/>
    </cacheField>
    <cacheField name="Status Final" numFmtId="0">
      <sharedItems count="2">
        <s v="Aprovado"/>
        <s v="Reprov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L001"/>
    <x v="0"/>
    <n v="1120"/>
    <n v="25"/>
    <x v="0"/>
  </r>
  <r>
    <s v="L002"/>
    <x v="1"/>
    <n v="1250"/>
    <n v="26"/>
    <x v="0"/>
  </r>
  <r>
    <s v="L003"/>
    <x v="2"/>
    <n v="1080"/>
    <n v="33"/>
    <x v="1"/>
  </r>
  <r>
    <s v="L004"/>
    <x v="3"/>
    <n v="1100"/>
    <n v="35"/>
    <x v="0"/>
  </r>
  <r>
    <s v="L005"/>
    <x v="4"/>
    <n v="1099"/>
    <n v="32"/>
    <x v="1"/>
  </r>
  <r>
    <s v="L006"/>
    <x v="5"/>
    <n v="1300"/>
    <n v="25"/>
    <x v="0"/>
  </r>
  <r>
    <s v="L007"/>
    <x v="6"/>
    <n v="1270"/>
    <n v="25"/>
    <x v="0"/>
  </r>
  <r>
    <s v="L008"/>
    <x v="7"/>
    <n v="1150"/>
    <n v="26"/>
    <x v="0"/>
  </r>
  <r>
    <s v="L009"/>
    <x v="8"/>
    <n v="1153"/>
    <n v="29"/>
    <x v="0"/>
  </r>
  <r>
    <s v="L010"/>
    <x v="9"/>
    <n v="1100"/>
    <n v="27"/>
    <x v="0"/>
  </r>
  <r>
    <s v="L011"/>
    <x v="10"/>
    <n v="1107"/>
    <n v="25"/>
    <x v="1"/>
  </r>
  <r>
    <s v="L012"/>
    <x v="11"/>
    <n v="1150"/>
    <n v="28"/>
    <x v="0"/>
  </r>
  <r>
    <s v="L013"/>
    <x v="0"/>
    <n v="1299"/>
    <n v="25"/>
    <x v="0"/>
  </r>
  <r>
    <s v="L014"/>
    <x v="9"/>
    <n v="1230"/>
    <n v="25"/>
    <x v="0"/>
  </r>
  <r>
    <s v="L015"/>
    <x v="6"/>
    <n v="1145"/>
    <n v="25"/>
    <x v="0"/>
  </r>
  <r>
    <s v="L016"/>
    <x v="12"/>
    <n v="1065"/>
    <n v="34"/>
    <x v="1"/>
  </r>
  <r>
    <s v="L017"/>
    <x v="8"/>
    <n v="1300"/>
    <n v="25"/>
    <x v="0"/>
  </r>
  <r>
    <s v="L018"/>
    <x v="13"/>
    <n v="1200"/>
    <n v="26"/>
    <x v="1"/>
  </r>
  <r>
    <s v="L019"/>
    <x v="3"/>
    <n v="1175"/>
    <n v="29"/>
    <x v="0"/>
  </r>
  <r>
    <s v="L020"/>
    <x v="5"/>
    <n v="1280"/>
    <n v="28"/>
    <x v="0"/>
  </r>
  <r>
    <s v="L021"/>
    <x v="1"/>
    <n v="1235"/>
    <n v="25"/>
    <x v="0"/>
  </r>
  <r>
    <s v="L022"/>
    <x v="14"/>
    <n v="1100"/>
    <n v="26"/>
    <x v="1"/>
  </r>
  <r>
    <s v="L023"/>
    <x v="15"/>
    <n v="1155"/>
    <n v="25"/>
    <x v="0"/>
  </r>
  <r>
    <s v="L024"/>
    <x v="0"/>
    <n v="1107"/>
    <n v="25"/>
    <x v="0"/>
  </r>
  <r>
    <s v="L025"/>
    <x v="9"/>
    <n v="1120"/>
    <n v="25"/>
    <x v="0"/>
  </r>
  <r>
    <s v="L026"/>
    <x v="16"/>
    <n v="1230"/>
    <n v="27"/>
    <x v="1"/>
  </r>
  <r>
    <s v="L027"/>
    <x v="5"/>
    <n v="1170"/>
    <n v="26"/>
    <x v="0"/>
  </r>
  <r>
    <s v="L028"/>
    <x v="8"/>
    <n v="1300"/>
    <n v="28"/>
    <x v="0"/>
  </r>
  <r>
    <s v="L029"/>
    <x v="7"/>
    <n v="1190"/>
    <n v="25"/>
    <x v="0"/>
  </r>
  <r>
    <s v="L030"/>
    <x v="4"/>
    <n v="1210"/>
    <n v="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29056-5021-4099-9786-BCA7311964B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7">
  <location ref="A1:D4" firstHeaderRow="0" firstDataRow="1" firstDataCol="1"/>
  <pivotFields count="5">
    <pivotField dataField="1"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Lote" fld="0" subtotal="count" baseField="0" baseItem="0"/>
    <dataField name="Média de pH" fld="1" subtotal="average" baseField="4" baseItem="0" numFmtId="164"/>
    <dataField name="Média de Viscosidade" fld="2" subtotal="average" baseField="4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4"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2" format="16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2" format="17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2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2" format="19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2" format="20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1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61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61" format="7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61" format="8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A77EC-08DA-48E0-8622-8D0D497EEEFA}" name="Tabela1" displayName="Tabela1" ref="A1:E31" totalsRowShown="0" headerRowDxfId="11" dataDxfId="9" headerRowBorderDxfId="10" tableBorderDxfId="8" totalsRowBorderDxfId="7">
  <autoFilter ref="A1:E31" xr:uid="{DB4A77EC-08DA-48E0-8622-8D0D497EEEFA}"/>
  <tableColumns count="5">
    <tableColumn id="1" xr3:uid="{92E5C32B-9C71-4893-9E5A-9A35E2DF7954}" name="Lote" dataDxfId="6"/>
    <tableColumn id="2" xr3:uid="{513B0191-69D0-4820-BBA7-88F2FB581E7B}" name="pH" dataDxfId="5"/>
    <tableColumn id="3" xr3:uid="{090C000E-BADA-4010-BA1E-39BD02369230}" name="Viscosidade" dataDxfId="4"/>
    <tableColumn id="4" xr3:uid="{45D40F5E-E92A-46DD-992D-647ADE892A15}" name="Temperatura (ºC)" dataDxfId="3"/>
    <tableColumn id="5" xr3:uid="{6A251B08-50A4-4A8C-BEF3-77705ADF4CD9}" name="Status Final" dataDxfId="2">
      <calculatedColumnFormula>IF(AND(B2&gt;=VLOOKUP("pH",$H$2:$J$3,2,FALSE),B2&lt;=VLOOKUP("pH",$H$2:$J$3,3,FALSE),C2&gt;=VLOOKUP("Viscosidade",$H$2:$J$3,2,FALSE),C2&lt;=VLOOKUP("Viscosidade",$H$2:$J$3,3,FALSE)),"Aprovado","Reprovado")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C1E6-BF75-46C2-91D0-C1379317EE35}">
  <dimension ref="A1:J31"/>
  <sheetViews>
    <sheetView workbookViewId="0">
      <selection activeCell="E3" sqref="E3"/>
    </sheetView>
  </sheetViews>
  <sheetFormatPr defaultRowHeight="15.75" x14ac:dyDescent="0.25"/>
  <cols>
    <col min="1" max="2" width="9" customWidth="1"/>
    <col min="3" max="3" width="12.75" customWidth="1"/>
    <col min="4" max="4" width="17.375" customWidth="1"/>
    <col min="5" max="5" width="12.625" customWidth="1"/>
    <col min="8" max="8" width="10.875" customWidth="1"/>
  </cols>
  <sheetData>
    <row r="1" spans="1:10" x14ac:dyDescent="0.25">
      <c r="A1" s="12" t="s">
        <v>0</v>
      </c>
      <c r="B1" s="13" t="s">
        <v>1</v>
      </c>
      <c r="C1" s="13" t="s">
        <v>2</v>
      </c>
      <c r="D1" s="13" t="s">
        <v>37</v>
      </c>
      <c r="E1" s="14" t="s">
        <v>3</v>
      </c>
      <c r="H1" s="6" t="s">
        <v>34</v>
      </c>
      <c r="I1" s="6" t="s">
        <v>35</v>
      </c>
      <c r="J1" s="6" t="s">
        <v>36</v>
      </c>
    </row>
    <row r="2" spans="1:10" x14ac:dyDescent="0.25">
      <c r="A2" s="10" t="s">
        <v>4</v>
      </c>
      <c r="B2" s="2">
        <v>6.8</v>
      </c>
      <c r="C2" s="2">
        <v>1120</v>
      </c>
      <c r="D2" s="2">
        <v>25</v>
      </c>
      <c r="E2" s="11" t="str">
        <f>IF(AND(B2&gt;=VLOOKUP("pH",$H$2:$J$3,2,FALSE),B2&lt;=VLOOKUP("pH",$H$2:$J$3,3,FALSE),C2&gt;=VLOOKUP("Viscosidade",$H$2:$J$3,2,FALSE),C2&lt;=VLOOKUP("Viscosidade",$H$2:$J$3,3,FALSE)),"Aprovado","Reprovado")</f>
        <v>Aprovado</v>
      </c>
      <c r="H2" s="4" t="s">
        <v>1</v>
      </c>
      <c r="I2" s="2">
        <v>6.5</v>
      </c>
      <c r="J2" s="2">
        <v>7.5</v>
      </c>
    </row>
    <row r="3" spans="1:10" x14ac:dyDescent="0.25">
      <c r="A3" s="10" t="s">
        <v>5</v>
      </c>
      <c r="B3" s="2">
        <v>7.5</v>
      </c>
      <c r="C3" s="2">
        <v>1250</v>
      </c>
      <c r="D3" s="2">
        <v>26</v>
      </c>
      <c r="E3" s="11" t="str">
        <f t="shared" ref="E3:E31" si="0">IF(AND(B3&gt;=VLOOKUP("pH",$H$2:$J$3,2,FALSE),B3&lt;=VLOOKUP("pH",$H$2:$J$3,3,FALSE),C3&gt;=VLOOKUP("Viscosidade",$H$2:$J$3,2,FALSE),C3&lt;=VLOOKUP("Viscosidade",$H$2:$J$3,3,FALSE)),"Aprovado","Reprovado")</f>
        <v>Aprovado</v>
      </c>
      <c r="H3" s="4" t="s">
        <v>2</v>
      </c>
      <c r="I3" s="2">
        <v>1100</v>
      </c>
      <c r="J3" s="2">
        <v>1300</v>
      </c>
    </row>
    <row r="4" spans="1:10" x14ac:dyDescent="0.25">
      <c r="A4" s="10" t="s">
        <v>6</v>
      </c>
      <c r="B4" s="7">
        <v>8.3000000000000007</v>
      </c>
      <c r="C4" s="7">
        <v>1080</v>
      </c>
      <c r="D4" s="7">
        <v>33</v>
      </c>
      <c r="E4" s="11" t="str">
        <f t="shared" si="0"/>
        <v>Reprovado</v>
      </c>
    </row>
    <row r="5" spans="1:10" x14ac:dyDescent="0.25">
      <c r="A5" s="10" t="s">
        <v>7</v>
      </c>
      <c r="B5" s="8">
        <v>6.6</v>
      </c>
      <c r="C5" s="2">
        <v>1100</v>
      </c>
      <c r="D5" s="2">
        <v>35</v>
      </c>
      <c r="E5" s="11" t="str">
        <f t="shared" si="0"/>
        <v>Aprovado</v>
      </c>
    </row>
    <row r="6" spans="1:10" x14ac:dyDescent="0.25">
      <c r="A6" s="10" t="s">
        <v>8</v>
      </c>
      <c r="B6" s="2">
        <v>7.1</v>
      </c>
      <c r="C6" s="7">
        <v>1099</v>
      </c>
      <c r="D6" s="7">
        <v>32</v>
      </c>
      <c r="E6" s="11" t="str">
        <f t="shared" si="0"/>
        <v>Reprovado</v>
      </c>
    </row>
    <row r="7" spans="1:10" x14ac:dyDescent="0.25">
      <c r="A7" s="10" t="s">
        <v>9</v>
      </c>
      <c r="B7" s="8">
        <v>6.5</v>
      </c>
      <c r="C7" s="2">
        <v>1300</v>
      </c>
      <c r="D7" s="2">
        <v>25</v>
      </c>
      <c r="E7" s="11" t="str">
        <f t="shared" si="0"/>
        <v>Aprovado</v>
      </c>
    </row>
    <row r="8" spans="1:10" x14ac:dyDescent="0.25">
      <c r="A8" s="10" t="s">
        <v>10</v>
      </c>
      <c r="B8" s="2">
        <v>6.9</v>
      </c>
      <c r="C8" s="2">
        <v>1270</v>
      </c>
      <c r="D8" s="2">
        <v>25</v>
      </c>
      <c r="E8" s="11" t="str">
        <f t="shared" si="0"/>
        <v>Aprovado</v>
      </c>
    </row>
    <row r="9" spans="1:10" x14ac:dyDescent="0.25">
      <c r="A9" s="10" t="s">
        <v>11</v>
      </c>
      <c r="B9" s="2">
        <v>7.4</v>
      </c>
      <c r="C9" s="2">
        <v>1150</v>
      </c>
      <c r="D9" s="2">
        <v>26</v>
      </c>
      <c r="E9" s="11" t="str">
        <f t="shared" si="0"/>
        <v>Aprovado</v>
      </c>
    </row>
    <row r="10" spans="1:10" x14ac:dyDescent="0.25">
      <c r="A10" s="10" t="s">
        <v>12</v>
      </c>
      <c r="B10" s="2">
        <v>7.3</v>
      </c>
      <c r="C10" s="2">
        <v>1153</v>
      </c>
      <c r="D10" s="2">
        <v>29</v>
      </c>
      <c r="E10" s="11" t="str">
        <f t="shared" si="0"/>
        <v>Aprovado</v>
      </c>
    </row>
    <row r="11" spans="1:10" x14ac:dyDescent="0.25">
      <c r="A11" s="10" t="s">
        <v>13</v>
      </c>
      <c r="B11" s="8">
        <v>7</v>
      </c>
      <c r="C11" s="2">
        <v>1100</v>
      </c>
      <c r="D11" s="2">
        <v>27</v>
      </c>
      <c r="E11" s="11" t="str">
        <f t="shared" si="0"/>
        <v>Aprovado</v>
      </c>
    </row>
    <row r="12" spans="1:10" x14ac:dyDescent="0.25">
      <c r="A12" s="10" t="s">
        <v>14</v>
      </c>
      <c r="B12" s="7">
        <v>6.2</v>
      </c>
      <c r="C12" s="7">
        <v>1107</v>
      </c>
      <c r="D12" s="2">
        <v>25</v>
      </c>
      <c r="E12" s="11" t="str">
        <f t="shared" si="0"/>
        <v>Reprovado</v>
      </c>
    </row>
    <row r="13" spans="1:10" x14ac:dyDescent="0.25">
      <c r="A13" s="10" t="s">
        <v>15</v>
      </c>
      <c r="B13" s="7">
        <v>6.7</v>
      </c>
      <c r="C13" s="2">
        <v>1150</v>
      </c>
      <c r="D13" s="2">
        <v>28</v>
      </c>
      <c r="E13" s="11" t="str">
        <f t="shared" si="0"/>
        <v>Aprovado</v>
      </c>
    </row>
    <row r="14" spans="1:10" x14ac:dyDescent="0.25">
      <c r="A14" s="10" t="s">
        <v>16</v>
      </c>
      <c r="B14" s="2">
        <v>6.8</v>
      </c>
      <c r="C14" s="2">
        <v>1299</v>
      </c>
      <c r="D14" s="2">
        <v>25</v>
      </c>
      <c r="E14" s="11" t="str">
        <f t="shared" si="0"/>
        <v>Aprovado</v>
      </c>
    </row>
    <row r="15" spans="1:10" x14ac:dyDescent="0.25">
      <c r="A15" s="10" t="s">
        <v>17</v>
      </c>
      <c r="B15" s="8">
        <v>7</v>
      </c>
      <c r="C15" s="2">
        <v>1230</v>
      </c>
      <c r="D15" s="2">
        <v>25</v>
      </c>
      <c r="E15" s="11" t="str">
        <f t="shared" si="0"/>
        <v>Aprovado</v>
      </c>
    </row>
    <row r="16" spans="1:10" x14ac:dyDescent="0.25">
      <c r="A16" s="10" t="s">
        <v>18</v>
      </c>
      <c r="B16" s="2">
        <v>6.9</v>
      </c>
      <c r="C16" s="2">
        <v>1145</v>
      </c>
      <c r="D16" s="2">
        <v>25</v>
      </c>
      <c r="E16" s="11" t="str">
        <f t="shared" si="0"/>
        <v>Aprovado</v>
      </c>
    </row>
    <row r="17" spans="1:9" x14ac:dyDescent="0.25">
      <c r="A17" s="10" t="s">
        <v>19</v>
      </c>
      <c r="B17" s="7">
        <v>4.5</v>
      </c>
      <c r="C17" s="7">
        <v>1065</v>
      </c>
      <c r="D17" s="7">
        <v>34</v>
      </c>
      <c r="E17" s="11" t="str">
        <f t="shared" si="0"/>
        <v>Reprovado</v>
      </c>
    </row>
    <row r="18" spans="1:9" x14ac:dyDescent="0.25">
      <c r="A18" s="10" t="s">
        <v>20</v>
      </c>
      <c r="B18" s="2">
        <v>7.3</v>
      </c>
      <c r="C18" s="2">
        <v>1300</v>
      </c>
      <c r="D18" s="2">
        <v>25</v>
      </c>
      <c r="E18" s="11" t="str">
        <f t="shared" si="0"/>
        <v>Aprovado</v>
      </c>
    </row>
    <row r="19" spans="1:9" x14ac:dyDescent="0.25">
      <c r="A19" s="10" t="s">
        <v>21</v>
      </c>
      <c r="B19" s="2">
        <v>6.3</v>
      </c>
      <c r="C19" s="2">
        <v>1200</v>
      </c>
      <c r="D19" s="2">
        <v>26</v>
      </c>
      <c r="E19" s="11" t="str">
        <f t="shared" si="0"/>
        <v>Reprovado</v>
      </c>
    </row>
    <row r="20" spans="1:9" x14ac:dyDescent="0.25">
      <c r="A20" s="10" t="s">
        <v>22</v>
      </c>
      <c r="B20" s="2">
        <v>6.6</v>
      </c>
      <c r="C20" s="2">
        <v>1175</v>
      </c>
      <c r="D20" s="2">
        <v>29</v>
      </c>
      <c r="E20" s="11" t="str">
        <f t="shared" si="0"/>
        <v>Aprovado</v>
      </c>
    </row>
    <row r="21" spans="1:9" x14ac:dyDescent="0.25">
      <c r="A21" s="10" t="s">
        <v>23</v>
      </c>
      <c r="B21" s="2">
        <v>6.5</v>
      </c>
      <c r="C21" s="2">
        <v>1280</v>
      </c>
      <c r="D21" s="2">
        <v>28</v>
      </c>
      <c r="E21" s="11" t="str">
        <f t="shared" si="0"/>
        <v>Aprovado</v>
      </c>
    </row>
    <row r="22" spans="1:9" x14ac:dyDescent="0.25">
      <c r="A22" s="10" t="s">
        <v>24</v>
      </c>
      <c r="B22" s="2">
        <v>7.5</v>
      </c>
      <c r="C22" s="2">
        <v>1235</v>
      </c>
      <c r="D22" s="2">
        <v>25</v>
      </c>
      <c r="E22" s="11" t="str">
        <f t="shared" si="0"/>
        <v>Aprovado</v>
      </c>
    </row>
    <row r="23" spans="1:9" x14ac:dyDescent="0.25">
      <c r="A23" s="10" t="s">
        <v>25</v>
      </c>
      <c r="B23" s="9">
        <v>9.8000000000000007</v>
      </c>
      <c r="C23" s="7">
        <v>1100</v>
      </c>
      <c r="D23" s="2">
        <v>26</v>
      </c>
      <c r="E23" s="11" t="str">
        <f t="shared" si="0"/>
        <v>Reprovado</v>
      </c>
    </row>
    <row r="24" spans="1:9" x14ac:dyDescent="0.25">
      <c r="A24" s="10" t="s">
        <v>26</v>
      </c>
      <c r="B24" s="2">
        <v>7.2</v>
      </c>
      <c r="C24" s="2">
        <v>1155</v>
      </c>
      <c r="D24" s="2">
        <v>25</v>
      </c>
      <c r="E24" s="11" t="str">
        <f t="shared" si="0"/>
        <v>Aprovado</v>
      </c>
    </row>
    <row r="25" spans="1:9" x14ac:dyDescent="0.25">
      <c r="A25" s="10" t="s">
        <v>27</v>
      </c>
      <c r="B25" s="2">
        <v>6.8</v>
      </c>
      <c r="C25" s="2">
        <v>1107</v>
      </c>
      <c r="D25" s="2">
        <v>25</v>
      </c>
      <c r="E25" s="11" t="str">
        <f t="shared" si="0"/>
        <v>Aprovado</v>
      </c>
      <c r="I25" s="5"/>
    </row>
    <row r="26" spans="1:9" x14ac:dyDescent="0.25">
      <c r="A26" s="10" t="s">
        <v>28</v>
      </c>
      <c r="B26" s="8">
        <v>7</v>
      </c>
      <c r="C26" s="2">
        <v>1120</v>
      </c>
      <c r="D26" s="2">
        <v>25</v>
      </c>
      <c r="E26" s="11" t="str">
        <f t="shared" si="0"/>
        <v>Aprovado</v>
      </c>
    </row>
    <row r="27" spans="1:9" x14ac:dyDescent="0.25">
      <c r="A27" s="10" t="s">
        <v>29</v>
      </c>
      <c r="B27" s="7">
        <v>7.6</v>
      </c>
      <c r="C27" s="2">
        <v>1230</v>
      </c>
      <c r="D27" s="2">
        <v>27</v>
      </c>
      <c r="E27" s="11" t="str">
        <f t="shared" si="0"/>
        <v>Reprovado</v>
      </c>
    </row>
    <row r="28" spans="1:9" x14ac:dyDescent="0.25">
      <c r="A28" s="10" t="s">
        <v>30</v>
      </c>
      <c r="B28" s="2">
        <v>6.5</v>
      </c>
      <c r="C28" s="2">
        <v>1170</v>
      </c>
      <c r="D28" s="2">
        <v>26</v>
      </c>
      <c r="E28" s="11" t="str">
        <f t="shared" si="0"/>
        <v>Aprovado</v>
      </c>
    </row>
    <row r="29" spans="1:9" x14ac:dyDescent="0.25">
      <c r="A29" s="10" t="s">
        <v>31</v>
      </c>
      <c r="B29" s="2">
        <v>7.3</v>
      </c>
      <c r="C29" s="2">
        <v>1300</v>
      </c>
      <c r="D29" s="2">
        <v>28</v>
      </c>
      <c r="E29" s="11" t="str">
        <f t="shared" si="0"/>
        <v>Aprovado</v>
      </c>
    </row>
    <row r="30" spans="1:9" x14ac:dyDescent="0.25">
      <c r="A30" s="10" t="s">
        <v>32</v>
      </c>
      <c r="B30" s="2">
        <v>7.4</v>
      </c>
      <c r="C30" s="2">
        <v>1190</v>
      </c>
      <c r="D30" s="2">
        <v>25</v>
      </c>
      <c r="E30" s="11" t="str">
        <f t="shared" si="0"/>
        <v>Aprovado</v>
      </c>
    </row>
    <row r="31" spans="1:9" x14ac:dyDescent="0.25">
      <c r="A31" s="15" t="s">
        <v>33</v>
      </c>
      <c r="B31" s="3">
        <v>7.1</v>
      </c>
      <c r="C31" s="3">
        <v>1210</v>
      </c>
      <c r="D31" s="3">
        <v>25</v>
      </c>
      <c r="E31" s="16" t="str">
        <f t="shared" si="0"/>
        <v>Aprovado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C0F1-0A4B-4075-95D2-5EE32FF753C8}">
  <dimension ref="A1:D4"/>
  <sheetViews>
    <sheetView zoomScale="85" zoomScaleNormal="85" workbookViewId="0">
      <selection activeCell="C17" sqref="C17"/>
    </sheetView>
  </sheetViews>
  <sheetFormatPr defaultRowHeight="15.75" x14ac:dyDescent="0.25"/>
  <cols>
    <col min="1" max="4" width="22.625" customWidth="1"/>
    <col min="5" max="5" width="19.5" bestFit="1" customWidth="1"/>
    <col min="6" max="31" width="5.125" bestFit="1" customWidth="1"/>
    <col min="32" max="32" width="10.5" bestFit="1" customWidth="1"/>
  </cols>
  <sheetData>
    <row r="1" spans="1:4" x14ac:dyDescent="0.25">
      <c r="A1" s="18" t="s">
        <v>39</v>
      </c>
      <c r="B1" t="s">
        <v>38</v>
      </c>
      <c r="C1" t="s">
        <v>43</v>
      </c>
      <c r="D1" t="s">
        <v>44</v>
      </c>
    </row>
    <row r="2" spans="1:4" x14ac:dyDescent="0.25">
      <c r="A2" s="1" t="s">
        <v>40</v>
      </c>
      <c r="B2" s="17">
        <v>23</v>
      </c>
      <c r="C2" s="19">
        <v>6.9826086956521749</v>
      </c>
      <c r="D2" s="19">
        <v>1196.0434782608695</v>
      </c>
    </row>
    <row r="3" spans="1:4" x14ac:dyDescent="0.25">
      <c r="A3" s="1" t="s">
        <v>41</v>
      </c>
      <c r="B3" s="17">
        <v>7</v>
      </c>
      <c r="C3" s="19">
        <v>7.1142857142857148</v>
      </c>
      <c r="D3" s="19">
        <v>1125.8571428571429</v>
      </c>
    </row>
    <row r="4" spans="1:4" x14ac:dyDescent="0.25">
      <c r="A4" s="1" t="s">
        <v>42</v>
      </c>
      <c r="B4" s="17">
        <v>30</v>
      </c>
      <c r="C4" s="19">
        <v>7.0133333333333345</v>
      </c>
      <c r="D4" s="19">
        <v>1179.6666666666667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4AA3-464F-4A2A-9103-499F692FC458}">
  <dimension ref="A1:C2"/>
  <sheetViews>
    <sheetView showGridLines="0" tabSelected="1" zoomScale="70" zoomScaleNormal="70" workbookViewId="0">
      <selection activeCell="D38" sqref="D38"/>
    </sheetView>
  </sheetViews>
  <sheetFormatPr defaultRowHeight="15.75" x14ac:dyDescent="0.25"/>
  <cols>
    <col min="1" max="3" width="35.125" customWidth="1"/>
    <col min="4" max="6" width="46.75" customWidth="1"/>
  </cols>
  <sheetData>
    <row r="1" spans="1:3" ht="35.25" x14ac:dyDescent="0.25">
      <c r="A1" s="20" t="s">
        <v>46</v>
      </c>
      <c r="B1" s="20" t="s">
        <v>45</v>
      </c>
      <c r="C1" s="20" t="s">
        <v>47</v>
      </c>
    </row>
    <row r="2" spans="1:3" ht="35.25" x14ac:dyDescent="0.5">
      <c r="A2" s="21">
        <f>COUNTA(Tabela1[Lote])</f>
        <v>30</v>
      </c>
      <c r="B2" s="22">
        <f>COUNTIF(Tabela1[Status Final],"Aprovado")</f>
        <v>23</v>
      </c>
      <c r="C2" s="22">
        <f>COUNTIF(Tabela1[Status Final],"Reprovado")</f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Base de dados</vt:lpstr>
      <vt:lpstr>Análise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 AVAJ</dc:creator>
  <cp:lastModifiedBy>iza AVAJ</cp:lastModifiedBy>
  <dcterms:created xsi:type="dcterms:W3CDTF">2026-03-19T13:57:26Z</dcterms:created>
  <dcterms:modified xsi:type="dcterms:W3CDTF">2026-03-19T18:53:46Z</dcterms:modified>
</cp:coreProperties>
</file>